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svg" ContentType="image/svg+xml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wdp" ContentType="image/vnd.ms-photo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7"/>
  <workbookPr/>
  <xr:revisionPtr revIDLastSave="0" documentId="13_ncr:1_{00000000-0000-0000-0000-0000000000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arams" sheetId="1" r:id="rId1"/>
    <sheet name="门控矩阵" sheetId="2" r:id="rId2"/>
    <sheet name="执行清单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W16" i="2"/>
  <c r="B19" i="2"/>
  <c r="B20" i="2"/>
  <c r="B21" i="2"/>
  <c r="B22" i="2"/>
  <c r="B23" i="2"/>
  <c r="B11" i="3"/>
  <c r="E11" i="3"/>
  <c r="B12" i="3"/>
  <c r="B13" i="3"/>
  <c r="B14" i="3"/>
  <c r="B15" i="3"/>
  <c r="B16" i="3"/>
</calcChain>
</file>

<file path=xl/sharedStrings.xml><?xml version="1.0" encoding="utf-8"?>
<sst xmlns="http://schemas.openxmlformats.org/spreadsheetml/2006/main" count="263" uniqueCount="155">
  <si>
    <t>LTV/CAC 渠道获客门控 · 参数与口径（改这里，全表自动生效）</t>
  </si>
  <si>
    <t>参数项</t>
  </si>
  <si>
    <t>数值</t>
  </si>
  <si>
    <t>单位</t>
  </si>
  <si>
    <t>说明与护栏</t>
  </si>
  <si>
    <t>暂停阈值 pause_threshold</t>
  </si>
  <si>
    <t>倍</t>
  </si>
  <si>
    <t>比值 &lt; 3.0：停新客投放预算，仅保留品牌保底</t>
  </si>
  <si>
    <t>扩投阈值 boost_threshold</t>
  </si>
  <si>
    <t>比值 ≥ 5.0：加投，单渠道单月最多 +20%</t>
  </si>
  <si>
    <t>扩投比例 boost_ratio</t>
  </si>
  <si>
    <t>加投上限 ＝ 当月在投预算 × 该比例</t>
  </si>
  <si>
    <t>最小新客数 min_new_customers</t>
  </si>
  <si>
    <t>人</t>
  </si>
  <si>
    <t>当月新客 &lt; 50：样本不足，不评估，维持原预算</t>
  </si>
  <si>
    <t>品牌保底预算 min_brand_budget</t>
  </si>
  <si>
    <t>元/月</t>
  </si>
  <si>
    <t>暂停 ≠ 关停：保底只用于品牌词防守与内容留存</t>
  </si>
  <si>
    <t>保底预算比例 min_floor_ratio</t>
  </si>
  <si>
    <t>保底 ＝ max(500 元, 原预算 × 5%)</t>
  </si>
  <si>
    <t>暂停观察天数 pause_observation_days</t>
  </si>
  <si>
    <t>天</t>
  </si>
  <si>
    <t>暂停后第 7 天看直搜/自然量，满 30 天必须复评</t>
  </si>
  <si>
    <t>连续扩投次数上限 max_boost_rounds</t>
  </si>
  <si>
    <t>次</t>
  </si>
  <si>
    <t>同一渠道连续扩投 2 个月后转人工复核</t>
  </si>
  <si>
    <t>数据滞后天数 data_lag_days</t>
  </si>
  <si>
    <t>每月 3 日前锁上月数据，6 日前出调整指令</t>
  </si>
  <si>
    <t>常量（供公式引用，勿改）</t>
  </si>
  <si>
    <t>取值</t>
  </si>
  <si>
    <t>说明</t>
  </si>
  <si>
    <t>释放预算吸收比例 max_absorb_ratio</t>
  </si>
  <si>
    <t>高效渠道合计吸收量 ＝ 释放预算；按各渠道加投上限比例分</t>
  </si>
  <si>
    <t>总预算硬上限 total_budget_cap</t>
  </si>
  <si>
    <t>元</t>
  </si>
  <si>
    <t>加投后总盘不得超过此值，超出则按比值截断</t>
  </si>
  <si>
    <t>口径（三个数必须同月份、同口径、同币种）</t>
  </si>
  <si>
    <t>指标</t>
  </si>
  <si>
    <t>定义</t>
  </si>
  <si>
    <t>新客 LTV（12 月）</t>
  </si>
  <si>
    <t>CAC</t>
  </si>
  <si>
    <t>新客数</t>
  </si>
  <si>
    <t>当月预算</t>
  </si>
  <si>
    <t>LTV/CAC 渠道获客门控 · 判定与预算调整指令｜月更只填 A–F 列，G–V 与汇总全自动｜示例月份 2025-08</t>
  </si>
  <si>
    <t>月份</t>
  </si>
  <si>
    <t>渠道</t>
  </si>
  <si>
    <t>预测/平滑LTV(元)</t>
  </si>
  <si>
    <t>CAC(元)</t>
  </si>
  <si>
    <t>新客数(人)</t>
  </si>
  <si>
    <t>当月预算(元)</t>
  </si>
  <si>
    <t>保底预算(元)</t>
  </si>
  <si>
    <t>样本门控</t>
  </si>
  <si>
    <t>LTV/CAC</t>
  </si>
  <si>
    <t>判定</t>
  </si>
  <si>
    <t>释放预算(元)</t>
  </si>
  <si>
    <t>吸收上限(元)</t>
  </si>
  <si>
    <t>加投上限(元)</t>
  </si>
  <si>
    <t>新客预算(元)</t>
  </si>
  <si>
    <t>本月调整(元)</t>
  </si>
  <si>
    <t>系统指令</t>
  </si>
  <si>
    <t>复评日</t>
  </si>
  <si>
    <t>谁执行</t>
  </si>
  <si>
    <t>建议转入(元)</t>
  </si>
  <si>
    <t>本月新客(预测)</t>
  </si>
  <si>
    <t>预算合计(元)</t>
  </si>
  <si>
    <t>总盘校验</t>
  </si>
  <si>
    <t>2025-07</t>
  </si>
  <si>
    <t>拼多多</t>
  </si>
  <si>
    <t>通过</t>
  </si>
  <si>
    <t>暂停</t>
  </si>
  <si>
    <t>停新客投放，仅保品牌词与内容留存</t>
  </si>
  <si>
    <t>8月7日</t>
  </si>
  <si>
    <t>投放负责人+品牌负责人</t>
  </si>
  <si>
    <t>抖音</t>
  </si>
  <si>
    <t>扩投</t>
  </si>
  <si>
    <t>加投至新客预算上限</t>
  </si>
  <si>
    <t/>
  </si>
  <si>
    <t>投放负责人</t>
  </si>
  <si>
    <t>视频号</t>
  </si>
  <si>
    <t>维持</t>
  </si>
  <si>
    <t>持平，下月复评</t>
  </si>
  <si>
    <t>私域社群</t>
  </si>
  <si>
    <t>小红书</t>
  </si>
  <si>
    <t>线下活动</t>
  </si>
  <si>
    <t>知乎</t>
  </si>
  <si>
    <t>不足</t>
  </si>
  <si>
    <t>样本不足</t>
  </si>
  <si>
    <t>样本不足不评估，维持原预算</t>
  </si>
  <si>
    <t>B站</t>
  </si>
  <si>
    <t>汇总（自动）</t>
  </si>
  <si>
    <t>暂停渠道释放的预算</t>
  </si>
  <si>
    <t>扩投渠道可吸收上限（=加投上限合计）</t>
  </si>
  <si>
    <t>本月加投金额合计</t>
  </si>
  <si>
    <t>调整后新客预算总盘</t>
  </si>
  <si>
    <t>总盘校验（上限 Params!B15）</t>
  </si>
  <si>
    <t>通过：未超总盘上限</t>
  </si>
  <si>
    <t>LTV/CAC 渠道获客门控 · 执行清单｜阈值口径见 Params 页，判定与金额见「门控矩阵」页（示例月份 2025-07）</t>
  </si>
  <si>
    <t>一、判定规则（按序判断，命中即停）</t>
  </si>
  <si>
    <t>序</t>
  </si>
  <si>
    <t>规则</t>
  </si>
  <si>
    <t>阈值 / 判据</t>
  </si>
  <si>
    <t>动作</t>
  </si>
  <si>
    <t>当月新客 ≥ 50 人</t>
  </si>
  <si>
    <t>不足则标「样本不足」：不评估、维持原预算（示例中的知乎）</t>
  </si>
  <si>
    <t>LTV/CAC 比值</t>
  </si>
  <si>
    <t>平滑 LTV ÷ 当月 CAC（近 3 月移动平均）</t>
  </si>
  <si>
    <t>保留 2 位小数，作为唯一判定与排序依据</t>
  </si>
  <si>
    <t>暂停闸门</t>
  </si>
  <si>
    <t>比值 &lt; 3.0</t>
  </si>
  <si>
    <t>停该渠道新客投放预算，只留品牌保底；7 天后看自然量，满 30 天必须复评</t>
  </si>
  <si>
    <t>扩投闸门</t>
  </si>
  <si>
    <t>比值 ≥ 5.0</t>
  </si>
  <si>
    <t>加投至 min(当月预算×1.2, 当月预算 + 释放预算按加投上限分摊额)</t>
  </si>
  <si>
    <t>观察区</t>
  </si>
  <si>
    <t>3.0 ≤ 比值 &lt; 5.0</t>
  </si>
  <si>
    <t>持平不追加；连续 2 个月落在观察区，转人工复核素材与人群</t>
  </si>
  <si>
    <t>二、本月预算调整指令（实时取自「门控矩阵」，改矩阵即自动更新）</t>
  </si>
  <si>
    <t>自动计算</t>
  </si>
  <si>
    <t>✔ 未超总盘上限</t>
  </si>
  <si>
    <t>扩投渠道可吸收上限（加投上限合计）</t>
  </si>
  <si>
    <t>总盘上限（110%）</t>
  </si>
  <si>
    <t>其中：品牌保底预留（暂停渠道）</t>
  </si>
  <si>
    <t>三、每月 6 步闭环（谁在哪天做什么）</t>
  </si>
  <si>
    <t>D3</t>
  </si>
  <si>
    <t>锁数</t>
  </si>
  <si>
    <t>—</t>
  </si>
  <si>
    <t>结算月 3 日前冻结各渠道 LTV / CAC / 新客数 / 当月预算；数据不全的渠道一律标「样本不足」</t>
  </si>
  <si>
    <t>D4-5</t>
  </si>
  <si>
    <t>跑门控</t>
  </si>
  <si>
    <t>在「门控矩阵」A–F 列填数，G–V 与汇总自动出判定与金额；逐行核对系统指令栏</t>
  </si>
  <si>
    <t>D6</t>
  </si>
  <si>
    <t>批指令</t>
  </si>
  <si>
    <t>投放负责人确认暂停/加投清单，品牌负责人确认保底金额，形成当月一张预算调整单</t>
  </si>
  <si>
    <t>D25-31</t>
  </si>
  <si>
    <t>执行</t>
  </si>
  <si>
    <t>渠道后台改预算与出价；暂停渠道只保留品牌词防守与内容留存，不得整店关停</t>
  </si>
  <si>
    <t>D+7</t>
  </si>
  <si>
    <t>看护</t>
  </si>
  <si>
    <t>暂停渠道第 7 天看品牌直搜量与自然进店量，跌幅超 15% 则把保底上调至原预算的 10%</t>
  </si>
  <si>
    <t>D30</t>
  </si>
  <si>
    <t>复评</t>
  </si>
  <si>
    <t>满 30 天强制复评：比值回到 ≥ 3.0 才恢复投放，否则进入下一轮观察或改素材与人群</t>
  </si>
  <si>
    <t>四、硬约束（越线即停，防止跑飞）</t>
  </si>
  <si>
    <t>暂停 ≠ 关停</t>
  </si>
  <si>
    <t>任何渠道暂停后必须留保底 = max(500 元, 原预算 × 5%)，用于品牌词防守与内容留存</t>
  </si>
  <si>
    <t>暂停有时限</t>
  </si>
  <si>
    <t>单次暂停最长 30 天必须复评，观察期 7 天；禁止一次性永久关停渠道</t>
  </si>
  <si>
    <t>加投有上限</t>
  </si>
  <si>
    <t>单渠道单月 +20%，连续扩投不超过 2 个月，之后转人工复核</t>
  </si>
  <si>
    <t>总盘不超支</t>
  </si>
  <si>
    <t>加投后总盘 ≤ 110%；释放预算优先转给比值最高的渠道，无人接就留池不硬花</t>
  </si>
  <si>
    <t>口径唯一</t>
  </si>
  <si>
    <t>LTV 用 12 个月毛利贡献（非收入）、CAC 用全成本；三数必须同月、同口径、同币种</t>
  </si>
  <si>
    <t>合规</t>
  </si>
  <si>
    <t>客户 ID 加密存储、行为数据脱敏；暂停期间的再触达必须有用户明确同意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</si>
</sst>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8">
    <font>
      <sz val="11"/>
      <color theme="1"/>
      <name val="Arial"/>
      <family val="2"/>
      <scheme val="minor"/>
    </font>
    <font>
      <b/>
      <sz val="12.00"/>
      <color rgb="FFFFFFFF"/>
    </font>
    <font>
      <b/>
      <color rgb="FF0E5A4A"/>
    </font>
    <font>
      <b/>
      <color rgb="FFA32020"/>
    </font>
    <font>
      <color rgb="FF3A4A45"/>
    </font>
    <font>
      <b/>
      <color rgb="FF12703A"/>
    </font>
    <font>
      <b/>
    </font>
    <font>
      <b/>
      <color rgb="FF3A4A45"/>
    </font>
  </fonts>
  <fills count="9">
    <fill>
      <patternFill patternType="none"/>
    </fill>
    <fill>
      <patternFill patternType="gray125"/>
    </fill>
    <fill>
      <patternFill patternType="solid">
        <fgColor rgb="FF0E5A4A"/>
        <bgColor indexed="64"/>
      </patternFill>
    </fill>
    <fill>
      <patternFill patternType="solid">
        <fgColor rgb="FFE3F1E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4F7F6"/>
        <bgColor indexed="64"/>
      </patternFill>
    </fill>
    <fill>
      <patternFill patternType="solid">
        <fgColor rgb="FFE8F6EE"/>
        <bgColor indexed="64"/>
      </patternFill>
    </fill>
    <fill>
      <patternFill patternType="solid">
        <fgColor rgb="FFF5F7F6"/>
        <bgColor indexed="64"/>
      </patternFill>
    </fill>
  </fills>
  <borders count="1">
    <border>
      <left/>
      <right/>
      <top/>
      <bottom/>
      <diagonal/>
    </border>
  </borders>
  <cellStyleXfs count="50">
    <xf numFmtId="0" fontId="0" fillId="0" borderId="0"/>
    <xf fontId="1" applyFont="1" fillId="2" applyFill="1"/>
    <xf fontId="2" applyFont="1" fillId="3" applyFill="1"/>
    <xf fillId="4" applyFill="1"/>
    <xf numFmtId="164" applyNumberFormat="1"/>
    <xf numFmtId="3" applyNumberFormat="1"/>
    <xf numFmtId="164" applyNumberFormat="1" fillId="4" applyFill="1"/>
    <xf applyAlignment="1">
      <alignment wrapText="1"/>
    </xf>
    <xf fontId="1" applyFont="1" fillId="2" applyFill="1" applyAlignment="1">
      <alignment wrapText="1"/>
    </xf>
    <xf fontId="2" applyFont="1" fillId="3" applyFill="1" applyAlignment="1">
      <alignment wrapText="1"/>
    </xf>
    <xf fontId="1" applyFont="1" fillId="2" applyFill="1" applyAlignment="1">
      <alignment vertical="center"/>
    </xf>
    <xf applyAlignment="1">
      <alignment vertical="center"/>
    </xf>
    <xf applyAlignment="1">
      <alignment vertical="center" wrapText="1"/>
    </xf>
    <xf fontId="2" applyFont="1" fillId="3" applyFill="1" applyAlignment="1">
      <alignment vertical="center"/>
    </xf>
    <xf fillId="4" applyFill="1" applyAlignment="1">
      <alignment vertical="center"/>
    </xf>
    <xf numFmtId="164" applyNumberFormat="1" fillId="4" applyFill="1" applyAlignment="1">
      <alignment vertical="center"/>
    </xf>
    <xf numFmtId="164" applyNumberFormat="1" applyAlignment="1">
      <alignment vertical="center"/>
    </xf>
    <xf numFmtId="3" applyNumberFormat="1" applyAlignment="1">
      <alignment vertical="center"/>
    </xf>
    <xf fontId="1" applyFont="1" fillId="2" applyFill="1" applyAlignment="1">
      <alignment vertical="center" wrapText="1"/>
    </xf>
    <xf fontId="2" applyFont="1" fillId="3" applyFill="1" applyAlignment="1">
      <alignment vertical="center" wrapText="1"/>
    </xf>
    <xf fontId="3" applyFont="1" fillId="5" applyFill="1"/>
    <xf fontId="4" applyFont="1" fillId="6" applyFill="1"/>
    <xf fontId="5" applyFont="1" fillId="7" applyFill="1"/>
    <xf numFmtId="3" applyNumberFormat="1" fontId="2" applyFont="1" fillId="3" applyFill="1"/>
    <xf numFmtId="3" applyNumberFormat="1" fontId="3" applyFont="1" fillId="5" applyFill="1"/>
    <xf numFmtId="3" applyNumberFormat="1" fontId="4" applyFont="1" fillId="6" applyFill="1"/>
    <xf numFmtId="3" applyNumberFormat="1" fontId="5" applyFont="1" fillId="7" applyFill="1"/>
    <xf fontId="6" applyFont="1"/>
    <xf numFmtId="3" applyNumberFormat="1" fontId="2" applyFont="1" fillId="3" applyFill="1" applyAlignment="1">
      <alignment wrapText="1"/>
    </xf>
    <xf fontId="6" applyFont="1" applyAlignment="1">
      <alignment wrapText="1"/>
    </xf>
    <xf numFmtId="3" applyNumberFormat="1" applyAlignment="1">
      <alignment wrapText="1"/>
    </xf>
    <xf numFmtId="3" applyNumberFormat="1" fontId="2" applyFont="1" fillId="3" applyFill="1" applyAlignment="1">
      <alignment vertical="center" wrapText="1"/>
    </xf>
    <xf fontId="6" applyFont="1" applyAlignment="1">
      <alignment vertical="center"/>
    </xf>
    <xf fontId="6" applyFont="1" applyAlignment="1">
      <alignment vertical="center" wrapText="1"/>
    </xf>
    <xf numFmtId="3" applyNumberFormat="1" applyAlignment="1">
      <alignment vertical="center" wrapText="1"/>
    </xf>
    <xf numFmtId="3" applyNumberFormat="1" fontId="3" applyFont="1" fillId="5" applyFill="1" applyAlignment="1">
      <alignment vertical="center"/>
    </xf>
    <xf numFmtId="3" applyNumberFormat="1" fontId="4" applyFont="1" fillId="6" applyFill="1" applyAlignment="1">
      <alignment vertical="center"/>
    </xf>
    <xf numFmtId="3" applyNumberFormat="1" fontId="5" applyFont="1" fillId="7" applyFill="1" applyAlignment="1">
      <alignment vertical="center"/>
    </xf>
    <xf fontId="4" applyFont="1" fillId="6" applyFill="1" applyAlignment="1">
      <alignment vertical="center"/>
    </xf>
    <xf fontId="5" applyFont="1" fillId="7" applyFill="1" applyAlignment="1">
      <alignment vertical="center"/>
    </xf>
    <xf fontId="7" applyFont="1" fillId="6" applyFill="1"/>
    <xf fontId="4" applyFont="1" fillId="8" applyFill="1"/>
    <xf fontId="7" applyFont="1" fillId="6" applyFill="1" applyAlignment="1">
      <alignment vertical="center"/>
    </xf>
    <xf fontId="4" applyFont="1" fillId="8" applyFill="1" applyAlignment="1">
      <alignment vertical="center"/>
    </xf>
    <xf fontId="7" applyFont="1" fillId="6" applyFill="1" applyAlignment="1">
      <alignment vertical="center" wrapText="1"/>
    </xf>
    <xf numFmtId="3" applyNumberFormat="1" fontId="3" applyFont="1" fillId="5" applyFill="1" applyAlignment="1">
      <alignment vertical="center" wrapText="1"/>
    </xf>
    <xf numFmtId="3" applyNumberFormat="1" fontId="5" applyFont="1" fillId="7" applyFill="1" applyAlignment="1">
      <alignment vertical="center" wrapText="1"/>
    </xf>
    <xf fontId="4" applyFont="1" fillId="8" applyFill="1" applyAlignment="1">
      <alignment vertical="center" wrapText="1"/>
    </xf>
    <xf numFmtId="3" applyNumberFormat="1" fontId="7" applyFont="1" fillId="6" applyFill="1" applyAlignment="1">
      <alignment vertical="center" wrapText="1"/>
    </xf>
    <xf fontId="5" applyFont="1" fillId="7" applyFill="1" applyAlignment="1">
      <alignment wrapText="1"/>
    </xf>
  </cellStyleXfs>
  <cellXfs count="26">
    <xf numFmtId="0" fontId="0" fillId="0" borderId="0" xfId="0"/>
    <xf xfId="0" quotePrefix="0" pivotButton="0" fontId="1" applyFont="1" fillId="2" applyFill="1" applyAlignment="1">
      <alignment vertical="center"/>
    </xf>
    <xf xfId="0" quotePrefix="0" pivotButton="0" applyAlignment="1">
      <alignment vertical="center"/>
    </xf>
    <xf xfId="0" quotePrefix="0" pivotButton="0" applyAlignment="1">
      <alignment vertical="center" wrapText="1"/>
    </xf>
    <xf xfId="0" quotePrefix="0" pivotButton="0" fontId="2" applyFont="1" fillId="3" applyFill="1" applyAlignment="1">
      <alignment vertical="center"/>
    </xf>
    <xf xfId="0" quotePrefix="0" pivotButton="0" fillId="4" applyFill="1" applyAlignment="1">
      <alignment vertical="center"/>
    </xf>
    <xf xfId="0" quotePrefix="0" pivotButton="0" numFmtId="164" applyNumberFormat="1" fillId="4" applyFill="1" applyAlignment="1">
      <alignment vertical="center"/>
    </xf>
    <xf xfId="0" quotePrefix="0" pivotButton="0" numFmtId="164" applyNumberFormat="1" applyAlignment="1">
      <alignment vertical="center"/>
    </xf>
    <xf xfId="0" quotePrefix="0" pivotButton="0" numFmtId="3" applyNumberFormat="1" applyAlignment="1">
      <alignment vertical="center"/>
    </xf>
    <xf xfId="0" quotePrefix="0" pivotButton="0" fontId="1" applyFont="1" fillId="2" applyFill="1" applyAlignment="1">
      <alignment vertical="center" wrapText="1"/>
    </xf>
    <xf xfId="0" quotePrefix="0" pivotButton="0" fontId="2" applyFont="1" fillId="3" applyFill="1" applyAlignment="1">
      <alignment vertical="center" wrapText="1"/>
    </xf>
    <xf xfId="0" quotePrefix="0" pivotButton="0" fontId="6" applyFont="1" applyAlignment="1">
      <alignment vertical="center"/>
    </xf>
    <xf xfId="0" quotePrefix="0" pivotButton="0" fontId="2" applyFont="1" fillId="3" applyFill="1"/>
    <xf xfId="0" quotePrefix="0" pivotButton="0" fontId="4" applyFont="1" fillId="6" applyFill="1"/>
    <xf xfId="0" quotePrefix="0" pivotButton="0" numFmtId="3" applyNumberFormat="1" fontId="3" applyFont="1" fillId="5" applyFill="1"/>
    <xf xfId="0" quotePrefix="0" pivotButton="0" numFmtId="3" applyNumberFormat="1" fontId="5" applyFont="1" fillId="7" applyFill="1"/>
    <xf xfId="0" quotePrefix="0" pivotButton="0" numFmtId="3" applyNumberFormat="1" fontId="4" applyFont="1" fillId="6" applyFill="1"/>
    <xf xfId="0" quotePrefix="0" pivotButton="0" fontId="5" applyFont="1" fillId="7" applyFill="1"/>
    <xf xfId="0" quotePrefix="0" pivotButton="0" fontId="7" applyFont="1" fillId="6" applyFill="1" applyAlignment="1">
      <alignment vertical="center" wrapText="1"/>
    </xf>
    <xf xfId="0" quotePrefix="0" pivotButton="0" applyAlignment="1">
      <alignment wrapText="1"/>
    </xf>
    <xf xfId="0" quotePrefix="0" pivotButton="0" fontId="4" applyFont="1" fillId="8" applyFill="1" applyAlignment="1">
      <alignment vertical="center" wrapText="1"/>
    </xf>
    <xf xfId="0" quotePrefix="0" pivotButton="0" fontId="6" applyFont="1" applyAlignment="1">
      <alignment vertical="center" wrapText="1"/>
    </xf>
    <xf xfId="0" quotePrefix="0" pivotButton="0" numFmtId="3" applyNumberFormat="1" fontId="3" applyFont="1" fillId="5" applyFill="1" applyAlignment="1">
      <alignment vertical="center" wrapText="1"/>
    </xf>
    <xf xfId="0" quotePrefix="0" pivotButton="0" fontId="5" applyFont="1" fillId="7" applyFill="1" applyAlignment="1">
      <alignment wrapText="1"/>
    </xf>
    <xf xfId="0" quotePrefix="0" pivotButton="0" numFmtId="3" applyNumberFormat="1" fontId="5" applyFont="1" fillId="7" applyFill="1" applyAlignment="1">
      <alignment vertical="center" wrapText="1"/>
    </xf>
    <xf xfId="0" quotePrefix="0" pivotButton="0" numFmtId="3" applyNumberFormat="1" fontId="7" applyFont="1" fillId="6" applyFill="1" applyAlignment="1">
      <alignment vertical="center" wrapText="1"/>
    </xf>
  </cellXfs>
  <cellStyles count="1">
    <cellStyle name="normal" xfId="0" builtinId="0"/>
  </cellStyles>
  <dxfs count="1">
    <dxf>
      <font>
        <b/>
        <color rgb="FFA32020"/>
      </font>
      <fill>
        <patternFill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F22"/>
  <sheetViews>
    <sheetView showGridLines="1" tabSelected="0" workbookViewId="0">
      <selection activeCell="A1" sqref="A1"/>
    </sheetView>
  </sheetViews>
  <sheetFormatPr defaultRowHeight="18.00" customHeight="1" defaultColWidth="10.79"/>
  <cols>
    <col min="1" max="1" width="30.66" customWidth="1" hidden="0"/>
    <col min="2" max="2" width="10.30" customWidth="1" hidden="0"/>
    <col min="3" max="3" width="7.60" customWidth="1" hidden="0"/>
    <col min="4" max="4" width="46.61" customWidth="1" hidden="0"/>
    <col min="5" max="5" width="15.94" customWidth="1" hidden="0"/>
    <col min="6" max="6" width="51.51" customWidth="1" hidden="0"/>
  </cols>
  <sheetData>
    <row r="1" ht="27.00" customHeight="true">
      <c r="A1" t="s" s="1">
        <v>0</v>
      </c>
      <c r="B1" s="2"/>
      <c r="C1" s="2"/>
      <c r="D1" s="2"/>
      <c r="E1" s="3"/>
      <c r="F1" s="3"/>
    </row>
    <row r="2" ht="18.00" customHeight="true">
      <c r="A2" t="s" s="4">
        <v>1</v>
      </c>
      <c r="B2" t="s" s="4">
        <v>2</v>
      </c>
      <c r="C2" t="s" s="4">
        <v>3</v>
      </c>
      <c r="D2" t="s" s="4">
        <v>4</v>
      </c>
      <c r="E2" s="3"/>
      <c r="F2" s="3"/>
    </row>
    <row r="3" ht="18.00" customHeight="true">
      <c r="A3" t="s" s="5">
        <v>5</v>
      </c>
      <c r="B3" s="6">
        <v>3</v>
      </c>
      <c r="C3" t="s" s="5">
        <v>6</v>
      </c>
      <c r="D3" t="s" s="5">
        <v>7</v>
      </c>
      <c r="E3" s="3"/>
      <c r="F3" s="3"/>
    </row>
    <row r="4" ht="18.00" customHeight="true">
      <c r="A4" t="s" s="5">
        <v>8</v>
      </c>
      <c r="B4" s="6">
        <v>5</v>
      </c>
      <c r="C4" t="s" s="5">
        <v>6</v>
      </c>
      <c r="D4" t="s" s="5">
        <v>9</v>
      </c>
      <c r="E4" s="3"/>
      <c r="F4" s="3"/>
    </row>
    <row r="5" ht="18.00" customHeight="true">
      <c r="A5" t="s" s="5">
        <v>10</v>
      </c>
      <c r="B5" s="6">
        <v>0.2</v>
      </c>
      <c r="C5" t="s" s="5">
        <v>6</v>
      </c>
      <c r="D5" t="s" s="5">
        <v>11</v>
      </c>
      <c r="E5" s="3"/>
      <c r="F5" s="3"/>
    </row>
    <row r="6" ht="18.00" customHeight="true">
      <c r="A6" t="s" s="5">
        <v>12</v>
      </c>
      <c r="B6" s="6">
        <v>50</v>
      </c>
      <c r="C6" t="s" s="5">
        <v>13</v>
      </c>
      <c r="D6" t="s" s="5">
        <v>14</v>
      </c>
      <c r="E6" s="3"/>
      <c r="F6" s="3"/>
    </row>
    <row r="7" ht="18.00" customHeight="true">
      <c r="A7" t="s" s="5">
        <v>15</v>
      </c>
      <c r="B7" s="6">
        <v>500</v>
      </c>
      <c r="C7" t="s" s="5">
        <v>16</v>
      </c>
      <c r="D7" t="s" s="5">
        <v>17</v>
      </c>
      <c r="E7" s="3"/>
      <c r="F7" s="3"/>
    </row>
    <row r="8" ht="18.00" customHeight="true">
      <c r="A8" t="s" s="5">
        <v>18</v>
      </c>
      <c r="B8" s="6">
        <v>0.05</v>
      </c>
      <c r="C8" t="s" s="5">
        <v>6</v>
      </c>
      <c r="D8" t="s" s="5">
        <v>19</v>
      </c>
      <c r="E8" s="3"/>
      <c r="F8" s="3"/>
    </row>
    <row r="9" ht="18.00" customHeight="true">
      <c r="A9" t="s" s="5">
        <v>20</v>
      </c>
      <c r="B9" s="6">
        <v>7</v>
      </c>
      <c r="C9" t="s" s="5">
        <v>21</v>
      </c>
      <c r="D9" t="s" s="5">
        <v>22</v>
      </c>
      <c r="E9" s="3"/>
      <c r="F9" s="3"/>
    </row>
    <row r="10" ht="18.00" customHeight="true">
      <c r="A10" t="s" s="5">
        <v>23</v>
      </c>
      <c r="B10" s="6">
        <v>2</v>
      </c>
      <c r="C10" t="s" s="5">
        <v>24</v>
      </c>
      <c r="D10" t="s" s="5">
        <v>25</v>
      </c>
      <c r="E10" s="3"/>
      <c r="F10" s="3"/>
    </row>
    <row r="11" ht="18.00" customHeight="true">
      <c r="A11" t="s" s="5">
        <v>26</v>
      </c>
      <c r="B11" s="6">
        <v>3</v>
      </c>
      <c r="C11" t="s" s="5">
        <v>21</v>
      </c>
      <c r="D11" t="s" s="5">
        <v>27</v>
      </c>
      <c r="E11" s="3"/>
      <c r="F11" s="3"/>
    </row>
    <row r="12" ht="18.00" customHeight="true">
      <c r="A12" s="2"/>
      <c r="B12" s="2"/>
      <c r="C12" s="2"/>
      <c r="D12" s="2"/>
      <c r="E12" s="3"/>
      <c r="F12" s="3"/>
    </row>
    <row r="13" ht="18.00" customHeight="true">
      <c r="A13" t="s" s="4">
        <v>28</v>
      </c>
      <c r="B13" t="s" s="4">
        <v>29</v>
      </c>
      <c r="C13" t="s" s="4">
        <v>3</v>
      </c>
      <c r="D13" t="s" s="4">
        <v>30</v>
      </c>
      <c r="E13" s="3"/>
      <c r="F13" s="3"/>
    </row>
    <row r="14" ht="18.00" customHeight="true">
      <c r="A14" t="s" s="2">
        <v>31</v>
      </c>
      <c r="B14" s="7">
        <v>1</v>
      </c>
      <c r="C14" t="s" s="2">
        <v>6</v>
      </c>
      <c r="D14" t="s" s="2">
        <v>32</v>
      </c>
      <c r="E14" s="3"/>
      <c r="F14" s="3"/>
    </row>
    <row r="15" ht="18.00" customHeight="true">
      <c r="A15" t="s" s="2">
        <v>33</v>
      </c>
      <c r="B15" s="8">
        <v>110000</v>
      </c>
      <c r="C15" t="s" s="2">
        <v>34</v>
      </c>
      <c r="D15" t="s" s="2">
        <v>35</v>
      </c>
      <c r="E15" s="3"/>
      <c r="F15" s="3"/>
    </row>
    <row r="16" ht="18.00" customHeight="true">
      <c r="A16" s="2"/>
      <c r="B16" s="2"/>
      <c r="C16" s="2"/>
      <c r="D16" s="2"/>
      <c r="E16" s="3"/>
      <c r="F16" s="3"/>
    </row>
    <row r="17" ht="21.00" customHeight="true">
      <c r="A17" s="2"/>
      <c r="B17" s="2"/>
      <c r="C17" s="2"/>
      <c r="D17" s="2"/>
      <c r="E17" t="s" s="9">
        <v>36</v>
      </c>
      <c r="F17" s="3"/>
    </row>
    <row r="18" ht="18.00" customHeight="true">
      <c r="A18" s="2"/>
      <c r="B18" s="2"/>
      <c r="C18" s="2"/>
      <c r="D18" s="2"/>
      <c r="E18" t="s" s="10">
        <v>37</v>
      </c>
      <c r="F18" t="s" s="10">
        <v>38</v>
      </c>
    </row>
    <row r="19" ht="18.00" customHeight="true">
      <c r="A19" s="2"/>
      <c r="B19" s="2"/>
      <c r="C19" s="2"/>
      <c r="D19" s="2"/>
      <c r="E19" t="s" s="3">
        <v>39</v>
      </c>
      <c r="F19" s="3"/>
    </row>
    <row r="20" ht="18.00" customHeight="true">
      <c r="A20" s="2"/>
      <c r="B20" s="2"/>
      <c r="C20" s="2"/>
      <c r="D20" s="2"/>
      <c r="E20" t="s" s="3">
        <v>40</v>
      </c>
      <c r="F20" s="3"/>
    </row>
    <row r="21" ht="18.00" customHeight="true">
      <c r="A21" s="2"/>
      <c r="B21" s="2"/>
      <c r="C21" s="2"/>
      <c r="D21" s="2"/>
      <c r="E21" t="s" s="3">
        <v>41</v>
      </c>
      <c r="F21" s="3"/>
    </row>
    <row r="22" ht="18.00" customHeight="true">
      <c r="A22" s="2"/>
      <c r="B22" s="2"/>
      <c r="C22" s="2"/>
      <c r="D22" s="2"/>
      <c r="E22" t="s" s="3">
        <v>42</v>
      </c>
      <c r="F22" s="3"/>
    </row>
  </sheetData>
  <mergeCells count="6">
    <mergeCell ref="A1:D1"/>
    <mergeCell ref="E17:F17"/>
    <mergeCell ref="E19:F19"/>
    <mergeCell ref="E20:F20"/>
    <mergeCell ref="E21:F21"/>
    <mergeCell ref="E22:F22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W23"/>
  <sheetViews>
    <sheetView showGridLines="1" tabSelected="0" workbookViewId="0">
      <selection activeCell="A1" sqref="A1"/>
    </sheetView>
  </sheetViews>
  <sheetFormatPr defaultRowHeight="18.00" customHeight="1" defaultColWidth="10.79"/>
  <cols>
    <col min="1" max="1" width="31.89" customWidth="1" hidden="0"/>
    <col min="2" max="3" width="11.77" customWidth="1" hidden="0"/>
    <col min="4" max="4" width="9.32" customWidth="1" hidden="0"/>
    <col min="5" max="5" width="9.57" customWidth="1" hidden="0"/>
    <col min="6" max="6" width="11.77" customWidth="1" hidden="0"/>
    <col min="7" max="7" width="11.28" customWidth="1" hidden="0"/>
    <col min="8" max="8" width="8.83" customWidth="1" hidden="0"/>
    <col min="9" max="9" width="9.32" customWidth="1" hidden="0"/>
    <col min="10" max="10" width="9.81" customWidth="1" hidden="0"/>
    <col min="11" max="11" width="11.28" customWidth="1" hidden="0"/>
    <col min="12" max="12" width="11.77" customWidth="1" hidden="0"/>
    <col min="13" max="13" width="11.28" customWidth="1" hidden="0"/>
    <col min="14" max="14" width="30.66" customWidth="1" hidden="0"/>
    <col min="15" max="15" width="29.44" customWidth="1" hidden="0"/>
    <col min="16" max="16" width="9.57" customWidth="1" hidden="0"/>
    <col min="17" max="17" width="15.94" customWidth="1" hidden="0"/>
    <col min="18" max="19" width="12.27" customWidth="1" hidden="0"/>
    <col min="20" max="20" width="13.49" customWidth="1" hidden="0"/>
    <col min="21" max="23" width="12.76" customWidth="1" hidden="0"/>
  </cols>
  <sheetData>
    <row r="1" ht="34.50" customHeight="true">
      <c r="A1" t="s" s="1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33.00" customHeight="true">
      <c r="A2" t="s" s="10">
        <v>44</v>
      </c>
      <c r="B2" t="s" s="10">
        <v>45</v>
      </c>
      <c r="C2" t="s" s="10">
        <v>46</v>
      </c>
      <c r="D2" t="s" s="10">
        <v>47</v>
      </c>
      <c r="E2" t="s" s="10">
        <v>48</v>
      </c>
      <c r="F2" t="s" s="10">
        <v>49</v>
      </c>
      <c r="G2" t="s" s="10">
        <v>50</v>
      </c>
      <c r="H2" t="s" s="10">
        <v>51</v>
      </c>
      <c r="I2" t="s" s="10">
        <v>52</v>
      </c>
      <c r="J2" t="s" s="10">
        <v>53</v>
      </c>
      <c r="K2" t="s" s="10">
        <v>54</v>
      </c>
      <c r="L2" t="s" s="10">
        <v>55</v>
      </c>
      <c r="M2" t="s" s="10">
        <v>56</v>
      </c>
      <c r="N2" t="s" s="10">
        <v>57</v>
      </c>
      <c r="O2" t="s" s="10">
        <v>58</v>
      </c>
      <c r="P2" t="s" s="10">
        <v>59</v>
      </c>
      <c r="Q2" t="s" s="10">
        <v>60</v>
      </c>
      <c r="R2" t="s" s="10">
        <v>61</v>
      </c>
      <c r="S2" t="s" s="10">
        <v>62</v>
      </c>
      <c r="T2" t="s" s="10">
        <v>63</v>
      </c>
      <c r="U2" t="s" s="10">
        <v>64</v>
      </c>
      <c r="V2" t="s" s="10">
        <v>65</v>
      </c>
    </row>
    <row r="3" ht="18.00" customHeight="true">
      <c r="A3" t="s" s="2">
        <v>66</v>
      </c>
      <c r="B3" t="s" s="11">
        <v>67</v>
      </c>
      <c r="C3" s="2">
        <v>85</v>
      </c>
      <c r="D3" s="2">
        <v>40.4</v>
      </c>
      <c r="E3" s="2">
        <v>120</v>
      </c>
      <c r="F3" s="8">
        <v>26000</v>
      </c>
      <c r="G3" s="8">
        <f>ROUND(MAX(Params!$B$7,F3*Params!$B$8),0)</f>
        <v>1300</v>
      </c>
      <c r="H3" s="2" t="str">
        <f>IF(E3=0,"",IF(E3&gt;=Params!$B$6,"通过","不足"))</f>
        <v>通过</v>
      </c>
      <c r="I3" s="2">
        <f>IF(E3=0,"",ROUND(C3/D3,2))</f>
        <v>2.1</v>
      </c>
      <c r="J3" s="2" t="str">
        <f>IF(E3=0,"",IF(H3="不足","样本不足",IF(I3&gt;=Params!$B$4,"扩投",IF(I3&lt;Params!$B$3,"暂停","维持"))))</f>
        <v>暂停</v>
      </c>
      <c r="K3" s="8">
        <f>IF(F3=0,0,IF(J3="暂停",G3,0))</f>
        <v>1300</v>
      </c>
      <c r="L3" s="8">
        <f>IF(F3=0,0,IF(J3="扩投",F3*1.2,0))</f>
        <v>0</v>
      </c>
      <c r="M3" s="8">
        <f>IF(J3="扩投",ROUND(F3*1.2,0),0)</f>
        <v>0</v>
      </c>
      <c r="N3" s="8">
        <f>IF(F3=0,0,IF(J3="暂停",G3,IF(J3="扩投",ROUND(MIN(M3,F3+S3),0),F3)))</f>
        <v>1300</v>
      </c>
      <c r="O3" s="8">
        <f>IF(F3=0,0,N3-F3)</f>
        <v>-24700</v>
      </c>
      <c r="P3" s="3" t="str">
        <f>IF(F3=0,"",IF(J3="暂停","停新客投放，仅保品牌词与内容留存","")&amp;IF(J3="扩投","加投至新客预算上限","")&amp;IF(J3="维持","持平，下月复评","")&amp;IF(J3="样本不足","样本不足不评估，维持原预算",""))</f>
        <v>停新客投放，仅保品牌词与内容留存</v>
      </c>
      <c r="Q3" s="3" t="str">
        <f>IF(J3="暂停",TEXT(DATE(YEAR(A3),MONTH(A3)+1,1)+Params!$B$9-1,"m月d日"),"")</f>
        <v>8月7日</v>
      </c>
      <c r="R3" s="3" t="str">
        <f>IF(J3="暂停","投放负责人+品牌负责人","")&amp;IF(J3="扩投","投放负责人","")</f>
        <v>投放负责人+品牌负责人</v>
      </c>
      <c r="S3" s="8">
        <f>IF(L3&gt;0,ROUND($B$19*M3/$B$20,0),0)</f>
        <v>0</v>
      </c>
      <c r="T3" s="8">
        <f>IF(F3=0,0,ROUND(E3*N3/F3,0))</f>
        <v>6</v>
      </c>
      <c r="U3" s="8">
        <f>IF(F3=0,0,N3)</f>
        <v>1300</v>
      </c>
      <c r="V3" s="8">
        <f>IF(F3=0,0,IF(E3&gt;0,N3,0))</f>
        <v>1300</v>
      </c>
    </row>
    <row r="4" ht="18.00" customHeight="true">
      <c r="A4" t="s" s="2">
        <v>66</v>
      </c>
      <c r="B4" t="s" s="11">
        <v>73</v>
      </c>
      <c r="C4" s="2">
        <v>248</v>
      </c>
      <c r="D4" s="2">
        <v>40</v>
      </c>
      <c r="E4" s="2">
        <v>320</v>
      </c>
      <c r="F4" s="8">
        <v>15000</v>
      </c>
      <c r="G4" s="8">
        <f>ROUND(MAX(Params!$B$7,F4*Params!$B$8),0)</f>
        <v>750</v>
      </c>
      <c r="H4" s="2" t="str">
        <f>IF(E4=0,"",IF(E4&gt;=Params!$B$6,"通过","不足"))</f>
        <v>通过</v>
      </c>
      <c r="I4" s="2">
        <f>IF(E4=0,"",ROUND(C4/D4,2))</f>
        <v>6.2</v>
      </c>
      <c r="J4" s="2" t="str">
        <f>IF(E4=0,"",IF(H4="不足","样本不足",IF(I4&gt;=Params!$B$4,"扩投",IF(I4&lt;Params!$B$3,"暂停","维持"))))</f>
        <v>扩投</v>
      </c>
      <c r="K4" s="8">
        <f>IF(F4=0,0,IF(J4="暂停",G4,0))</f>
        <v>0</v>
      </c>
      <c r="L4" s="8">
        <f>IF(F4=0,0,IF(J4="扩投",F4*1.2,0))</f>
        <v>18000</v>
      </c>
      <c r="M4" s="8">
        <f>IF(J4="扩投",ROUND(F4*1.2,0),0)</f>
        <v>18000</v>
      </c>
      <c r="N4" s="8">
        <f>IF(F4=0,0,IF(J4="暂停",G4,IF(J4="扩投",ROUND(MIN(M4,F4+S4),0),F4)))</f>
        <v>15750</v>
      </c>
      <c r="O4" s="8">
        <f>IF(F4=0,0,N4-F4)</f>
        <v>750</v>
      </c>
      <c r="P4" s="3" t="str">
        <f>IF(F4=0,"",IF(J4="暂停","停新客投放，仅保品牌词与内容留存","")&amp;IF(J4="扩投","加投至新客预算上限","")&amp;IF(J4="维持","持平，下月复评","")&amp;IF(J4="样本不足","样本不足不评估，维持原预算",""))</f>
        <v>加投至新客预算上限</v>
      </c>
      <c r="Q4" s="3" t="str">
        <f>IF(J4="暂停",TEXT(DATE(YEAR(A4),MONTH(A4)+1,1)+Params!$B$9-1,"m月d日"),"")</f>
        <v/>
      </c>
      <c r="R4" s="3" t="str">
        <f>IF(J4="暂停","投放负责人+品牌负责人","")&amp;IF(J4="扩投","投放负责人","")</f>
        <v>投放负责人</v>
      </c>
      <c r="S4" s="8">
        <f>IF(L4&gt;0,ROUND($B$19*M4/$B$20,0),0)</f>
        <v>750</v>
      </c>
      <c r="T4" s="8">
        <f>IF(F4=0,0,ROUND(E4*N4/F4,0))</f>
        <v>336</v>
      </c>
      <c r="U4" s="8">
        <f>IF(F4=0,0,N4)</f>
        <v>15750</v>
      </c>
      <c r="V4" s="8">
        <f>IF(F4=0,0,IF(E4&gt;0,N4,0))</f>
        <v>15750</v>
      </c>
      <c r="W4">
        <f>IF(F3=0,0,IF(E3&gt;0,N3,0))</f>
        <v>1300</v>
      </c>
    </row>
    <row r="5" ht="18.00" customHeight="true">
      <c r="A5" t="s" s="2">
        <v>66</v>
      </c>
      <c r="B5" t="s" s="11">
        <v>78</v>
      </c>
      <c r="C5" s="2">
        <v>155</v>
      </c>
      <c r="D5" s="2">
        <v>33</v>
      </c>
      <c r="E5" s="2">
        <v>95</v>
      </c>
      <c r="F5" s="8">
        <v>5000</v>
      </c>
      <c r="G5" s="8">
        <f>ROUND(MAX(Params!$B$7,F5*Params!$B$8),0)</f>
        <v>500</v>
      </c>
      <c r="H5" s="2" t="str">
        <f>IF(E5=0,"",IF(E5&gt;=Params!$B$6,"通过","不足"))</f>
        <v>通过</v>
      </c>
      <c r="I5" s="2">
        <f>IF(E5=0,"",ROUND(C5/D5,2))</f>
        <v>4.7</v>
      </c>
      <c r="J5" s="2" t="str">
        <f>IF(E5=0,"",IF(H5="不足","样本不足",IF(I5&gt;=Params!$B$4,"扩投",IF(I5&lt;Params!$B$3,"暂停","维持"))))</f>
        <v>维持</v>
      </c>
      <c r="K5" s="8">
        <f>IF(F5=0,0,IF(J5="暂停",G5,0))</f>
        <v>0</v>
      </c>
      <c r="L5" s="8">
        <f>IF(F5=0,0,IF(J5="扩投",F5*1.2,0))</f>
        <v>0</v>
      </c>
      <c r="M5" s="8">
        <f>IF(J5="扩投",ROUND(F5*1.2,0),0)</f>
        <v>0</v>
      </c>
      <c r="N5" s="8">
        <f>IF(F5=0,0,IF(J5="暂停",G5,IF(J5="扩投",ROUND(MIN(M5,F5+S5),0),F5)))</f>
        <v>5000</v>
      </c>
      <c r="O5" s="8">
        <f>IF(F5=0,0,N5-F5)</f>
        <v>0</v>
      </c>
      <c r="P5" s="3" t="str">
        <f>IF(F5=0,"",IF(J5="暂停","停新客投放，仅保品牌词与内容留存","")&amp;IF(J5="扩投","加投至新客预算上限","")&amp;IF(J5="维持","持平，下月复评","")&amp;IF(J5="样本不足","样本不足不评估，维持原预算",""))</f>
        <v>持平，下月复评</v>
      </c>
      <c r="Q5" s="3" t="str">
        <f>IF(J5="暂停",TEXT(DATE(YEAR(A5),MONTH(A5)+1,1)+Params!$B$9-1,"m月d日"),"")</f>
        <v/>
      </c>
      <c r="R5" s="3" t="str">
        <f>IF(J5="暂停","投放负责人+品牌负责人","")&amp;IF(J5="扩投","投放负责人","")</f>
        <v/>
      </c>
      <c r="S5" s="8">
        <f>IF(L5&gt;0,ROUND($B$19*M5/$B$20,0),0)</f>
        <v>0</v>
      </c>
      <c r="T5" s="8">
        <f>IF(F5=0,0,ROUND(E5*N5/F5,0))</f>
        <v>95</v>
      </c>
      <c r="U5" s="8">
        <f>IF(F5=0,0,N5)</f>
        <v>5000</v>
      </c>
      <c r="V5" s="8">
        <f>IF(F5=0,0,IF(E5&gt;0,N5,0))</f>
        <v>5000</v>
      </c>
      <c r="W5">
        <f>IF(F4=0,0,IF(E4&gt;0,N4,0))</f>
        <v>15750</v>
      </c>
    </row>
    <row r="6" ht="18.00" customHeight="true">
      <c r="A6" t="s" s="2">
        <v>66</v>
      </c>
      <c r="B6" t="s" s="11">
        <v>81</v>
      </c>
      <c r="C6" s="2">
        <v>268</v>
      </c>
      <c r="D6" s="2">
        <v>44</v>
      </c>
      <c r="E6" s="2">
        <v>197</v>
      </c>
      <c r="F6" s="8">
        <v>11000</v>
      </c>
      <c r="G6" s="8">
        <f>ROUND(MAX(Params!$B$7,F6*Params!$B$8),0)</f>
        <v>550</v>
      </c>
      <c r="H6" s="2" t="str">
        <f>IF(E6=0,"",IF(E6&gt;=Params!$B$6,"通过","不足"))</f>
        <v>通过</v>
      </c>
      <c r="I6" s="2">
        <f>IF(E6=0,"",ROUND(C6/D6,2))</f>
        <v>6.09</v>
      </c>
      <c r="J6" s="2" t="str">
        <f>IF(E6=0,"",IF(H6="不足","样本不足",IF(I6&gt;=Params!$B$4,"扩投",IF(I6&lt;Params!$B$3,"暂停","维持"))))</f>
        <v>扩投</v>
      </c>
      <c r="K6" s="8">
        <f>IF(F6=0,0,IF(J6="暂停",G6,0))</f>
        <v>0</v>
      </c>
      <c r="L6" s="8">
        <f>IF(F6=0,0,IF(J6="扩投",F6*1.2,0))</f>
        <v>13200</v>
      </c>
      <c r="M6" s="8">
        <f>IF(J6="扩投",ROUND(F6*1.2,0),0)</f>
        <v>13200</v>
      </c>
      <c r="N6" s="8">
        <f>IF(F6=0,0,IF(J6="暂停",G6,IF(J6="扩投",ROUND(MIN(M6,F6+S6),0),F6)))</f>
        <v>11550</v>
      </c>
      <c r="O6" s="8">
        <f>IF(F6=0,0,N6-F6)</f>
        <v>550</v>
      </c>
      <c r="P6" s="3" t="str">
        <f>IF(F6=0,"",IF(J6="暂停","停新客投放，仅保品牌词与内容留存","")&amp;IF(J6="扩投","加投至新客预算上限","")&amp;IF(J6="维持","持平，下月复评","")&amp;IF(J6="样本不足","样本不足不评估，维持原预算",""))</f>
        <v>加投至新客预算上限</v>
      </c>
      <c r="Q6" s="3" t="str">
        <f>IF(J6="暂停",TEXT(DATE(YEAR(A6),MONTH(A6)+1,1)+Params!$B$9-1,"m月d日"),"")</f>
        <v/>
      </c>
      <c r="R6" s="3" t="str">
        <f>IF(J6="暂停","投放负责人+品牌负责人","")&amp;IF(J6="扩投","投放负责人","")</f>
        <v>投放负责人</v>
      </c>
      <c r="S6" s="8">
        <f>IF(L6&gt;0,ROUND($B$19*M6/$B$20,0),0)</f>
        <v>550</v>
      </c>
      <c r="T6" s="8">
        <f>IF(F6=0,0,ROUND(E6*N6/F6,0))</f>
        <v>207</v>
      </c>
      <c r="U6" s="8">
        <f>IF(F6=0,0,N6)</f>
        <v>11550</v>
      </c>
      <c r="V6" s="8">
        <f>IF(F6=0,0,IF(E6&gt;0,N6,0))</f>
        <v>11550</v>
      </c>
      <c r="W6">
        <f>IF(F5=0,0,IF(E5&gt;0,N5,0))</f>
        <v>5000</v>
      </c>
    </row>
    <row r="7" ht="18.00" customHeight="true">
      <c r="A7" t="s" s="2">
        <v>66</v>
      </c>
      <c r="B7" t="s" s="11">
        <v>82</v>
      </c>
      <c r="C7" s="2">
        <v>198</v>
      </c>
      <c r="D7" s="2">
        <v>45</v>
      </c>
      <c r="E7" s="2">
        <v>70</v>
      </c>
      <c r="F7" s="8">
        <v>12000</v>
      </c>
      <c r="G7" s="8">
        <f>ROUND(MAX(Params!$B$7,F7*Params!$B$8),0)</f>
        <v>600</v>
      </c>
      <c r="H7" s="2" t="str">
        <f>IF(E7=0,"",IF(E7&gt;=Params!$B$6,"通过","不足"))</f>
        <v>通过</v>
      </c>
      <c r="I7" s="2">
        <f>IF(E7=0,"",ROUND(C7/D7,2))</f>
        <v>4.4</v>
      </c>
      <c r="J7" s="2" t="str">
        <f>IF(E7=0,"",IF(H7="不足","样本不足",IF(I7&gt;=Params!$B$4,"扩投",IF(I7&lt;Params!$B$3,"暂停","维持"))))</f>
        <v>维持</v>
      </c>
      <c r="K7" s="8">
        <f>IF(F7=0,0,IF(J7="暂停",G7,0))</f>
        <v>0</v>
      </c>
      <c r="L7" s="8">
        <f>IF(F7=0,0,IF(J7="扩投",F7*1.2,0))</f>
        <v>0</v>
      </c>
      <c r="M7" s="8">
        <f>IF(J7="扩投",ROUND(F7*1.2,0),0)</f>
        <v>0</v>
      </c>
      <c r="N7" s="8">
        <f>IF(F7=0,0,IF(J7="暂停",G7,IF(J7="扩投",ROUND(MIN(M7,F7+S7),0),F7)))</f>
        <v>12000</v>
      </c>
      <c r="O7" s="8">
        <f>IF(F7=0,0,N7-F7)</f>
        <v>0</v>
      </c>
      <c r="P7" s="3" t="str">
        <f>IF(F7=0,"",IF(J7="暂停","停新客投放，仅保品牌词与内容留存","")&amp;IF(J7="扩投","加投至新客预算上限","")&amp;IF(J7="维持","持平，下月复评","")&amp;IF(J7="样本不足","样本不足不评估，维持原预算",""))</f>
        <v>持平，下月复评</v>
      </c>
      <c r="Q7" s="3" t="str">
        <f>IF(J7="暂停",TEXT(DATE(YEAR(A7),MONTH(A7)+1,1)+Params!$B$9-1,"m月d日"),"")</f>
        <v/>
      </c>
      <c r="R7" s="3" t="str">
        <f>IF(J7="暂停","投放负责人+品牌负责人","")&amp;IF(J7="扩投","投放负责人","")</f>
        <v/>
      </c>
      <c r="S7" s="8">
        <f>IF(L7&gt;0,ROUND($B$19*M7/$B$20,0),0)</f>
        <v>0</v>
      </c>
      <c r="T7" s="8">
        <f>IF(F7=0,0,ROUND(E7*N7/F7,0))</f>
        <v>70</v>
      </c>
      <c r="U7" s="8">
        <f>IF(F7=0,0,N7)</f>
        <v>12000</v>
      </c>
      <c r="V7" s="8">
        <f>IF(F7=0,0,IF(E7&gt;0,N7,0))</f>
        <v>12000</v>
      </c>
      <c r="W7">
        <f>IF(F6=0,0,IF(E6&gt;0,N6,0))</f>
        <v>11550</v>
      </c>
    </row>
    <row r="8" ht="18.00" customHeight="true">
      <c r="A8" t="s" s="2">
        <v>66</v>
      </c>
      <c r="B8" t="s" s="11">
        <v>83</v>
      </c>
      <c r="C8" s="2">
        <v>176</v>
      </c>
      <c r="D8" s="2">
        <v>50</v>
      </c>
      <c r="E8" s="2">
        <v>200</v>
      </c>
      <c r="F8" s="8">
        <v>10000</v>
      </c>
      <c r="G8" s="8">
        <f>ROUND(MAX(Params!$B$7,F8*Params!$B$8),0)</f>
        <v>500</v>
      </c>
      <c r="H8" s="2" t="str">
        <f>IF(E8=0,"",IF(E8&gt;=Params!$B$6,"通过","不足"))</f>
        <v>通过</v>
      </c>
      <c r="I8" s="2">
        <f>IF(E8=0,"",ROUND(C8/D8,2))</f>
        <v>3.52</v>
      </c>
      <c r="J8" s="2" t="str">
        <f>IF(E8=0,"",IF(H8="不足","样本不足",IF(I8&gt;=Params!$B$4,"扩投",IF(I8&lt;Params!$B$3,"暂停","维持"))))</f>
        <v>维持</v>
      </c>
      <c r="K8" s="8">
        <f>IF(F8=0,0,IF(J8="暂停",G8,0))</f>
        <v>0</v>
      </c>
      <c r="L8" s="8">
        <f>IF(F8=0,0,IF(J8="扩投",F8*1.2,0))</f>
        <v>0</v>
      </c>
      <c r="M8" s="8">
        <f>IF(J8="扩投",ROUND(F8*1.2,0),0)</f>
        <v>0</v>
      </c>
      <c r="N8" s="8">
        <f>IF(F8=0,0,IF(J8="暂停",G8,IF(J8="扩投",ROUND(MIN(M8,F8+S8),0),F8)))</f>
        <v>10000</v>
      </c>
      <c r="O8" s="8">
        <f>IF(F8=0,0,N8-F8)</f>
        <v>0</v>
      </c>
      <c r="P8" s="3" t="str">
        <f>IF(F8=0,"",IF(J8="暂停","停新客投放，仅保品牌词与内容留存","")&amp;IF(J8="扩投","加投至新客预算上限","")&amp;IF(J8="维持","持平，下月复评","")&amp;IF(J8="样本不足","样本不足不评估，维持原预算",""))</f>
        <v>持平，下月复评</v>
      </c>
      <c r="Q8" s="3" t="str">
        <f>IF(J8="暂停",TEXT(DATE(YEAR(A8),MONTH(A8)+1,1)+Params!$B$9-1,"m月d日"),"")</f>
        <v/>
      </c>
      <c r="R8" s="3" t="str">
        <f>IF(J8="暂停","投放负责人+品牌负责人","")&amp;IF(J8="扩投","投放负责人","")</f>
        <v/>
      </c>
      <c r="S8" s="8">
        <f>IF(L8&gt;0,ROUND($B$19*M8/$B$20,0),0)</f>
        <v>0</v>
      </c>
      <c r="T8" s="8">
        <f>IF(F8=0,0,ROUND(E8*N8/F8,0))</f>
        <v>200</v>
      </c>
      <c r="U8" s="8">
        <f>IF(F8=0,0,N8)</f>
        <v>10000</v>
      </c>
      <c r="V8" s="8">
        <f>IF(F8=0,0,IF(E8&gt;0,N8,0))</f>
        <v>10000</v>
      </c>
      <c r="W8">
        <f>IF(F7=0,0,IF(E7&gt;0,N7,0))</f>
        <v>12000</v>
      </c>
    </row>
    <row r="9" ht="18.00" customHeight="true">
      <c r="A9" t="s" s="2">
        <v>66</v>
      </c>
      <c r="B9" t="s" s="11">
        <v>84</v>
      </c>
      <c r="C9" s="2">
        <v>118</v>
      </c>
      <c r="D9" s="2">
        <v>40</v>
      </c>
      <c r="E9" s="2">
        <v>30</v>
      </c>
      <c r="F9" s="8">
        <v>4000</v>
      </c>
      <c r="G9" s="8">
        <f>ROUND(MAX(Params!$B$7,F9*Params!$B$8),0)</f>
        <v>500</v>
      </c>
      <c r="H9" s="2" t="str">
        <f>IF(E9=0,"",IF(E9&gt;=Params!$B$6,"通过","不足"))</f>
        <v>不足</v>
      </c>
      <c r="I9" s="2">
        <f>IF(E9=0,"",ROUND(C9/D9,2))</f>
        <v>2.95</v>
      </c>
      <c r="J9" s="2" t="str">
        <f>IF(E9=0,"",IF(H9="不足","样本不足",IF(I9&gt;=Params!$B$4,"扩投",IF(I9&lt;Params!$B$3,"暂停","维持"))))</f>
        <v>样本不足</v>
      </c>
      <c r="K9" s="8">
        <f>IF(F9=0,0,IF(J9="暂停",G9,0))</f>
        <v>0</v>
      </c>
      <c r="L9" s="8">
        <f>IF(F9=0,0,IF(J9="扩投",F9*1.2,0))</f>
        <v>0</v>
      </c>
      <c r="M9" s="8">
        <f>IF(J9="扩投",ROUND(F9*1.2,0),0)</f>
        <v>0</v>
      </c>
      <c r="N9" s="8">
        <f>IF(F9=0,0,IF(J9="暂停",G9,IF(J9="扩投",ROUND(MIN(M9,F9+S9),0),F9)))</f>
        <v>4000</v>
      </c>
      <c r="O9" s="8">
        <f>IF(F9=0,0,N9-F9)</f>
        <v>0</v>
      </c>
      <c r="P9" s="3" t="str">
        <f>IF(F9=0,"",IF(J9="暂停","停新客投放，仅保品牌词与内容留存","")&amp;IF(J9="扩投","加投至新客预算上限","")&amp;IF(J9="维持","持平，下月复评","")&amp;IF(J9="样本不足","样本不足不评估，维持原预算",""))</f>
        <v>样本不足不评估，维持原预算</v>
      </c>
      <c r="Q9" s="3" t="str">
        <f>IF(J9="暂停",TEXT(DATE(YEAR(A9),MONTH(A9)+1,1)+Params!$B$9-1,"m月d日"),"")</f>
        <v/>
      </c>
      <c r="R9" s="3" t="str">
        <f>IF(J9="暂停","投放负责人+品牌负责人","")&amp;IF(J9="扩投","投放负责人","")</f>
        <v/>
      </c>
      <c r="S9" s="8">
        <f>IF(L9&gt;0,ROUND($B$19*M9/$B$20,0),0)</f>
        <v>0</v>
      </c>
      <c r="T9" s="8">
        <f>IF(F9=0,0,ROUND(E9*N9/F9,0))</f>
        <v>30</v>
      </c>
      <c r="U9" s="8">
        <f>IF(F9=0,0,N9)</f>
        <v>4000</v>
      </c>
      <c r="V9" s="8">
        <f>IF(F9=0,0,IF(E9&gt;0,N9,0))</f>
        <v>4000</v>
      </c>
      <c r="W9">
        <f>IF(F8=0,0,IF(E8&gt;0,N8,0))</f>
        <v>10000</v>
      </c>
    </row>
    <row r="10" ht="18.00" customHeight="true">
      <c r="A10" t="s" s="2">
        <v>66</v>
      </c>
      <c r="B10" t="s" s="11">
        <v>88</v>
      </c>
      <c r="C10" s="2">
        <v>210</v>
      </c>
      <c r="D10" s="2">
        <v>46</v>
      </c>
      <c r="E10" s="2">
        <v>60</v>
      </c>
      <c r="F10" s="8">
        <v>6000</v>
      </c>
      <c r="G10" s="8">
        <f>ROUND(MAX(Params!$B$7,F10*Params!$B$8),0)</f>
        <v>500</v>
      </c>
      <c r="H10" s="2" t="str">
        <f>IF(E10=0,"",IF(E10&gt;=Params!$B$6,"通过","不足"))</f>
        <v>通过</v>
      </c>
      <c r="I10" s="2">
        <f>IF(E10=0,"",ROUND(C10/D10,2))</f>
        <v>4.57</v>
      </c>
      <c r="J10" s="2" t="str">
        <f>IF(E10=0,"",IF(H10="不足","样本不足",IF(I10&gt;=Params!$B$4,"扩投",IF(I10&lt;Params!$B$3,"暂停","维持"))))</f>
        <v>维持</v>
      </c>
      <c r="K10" s="8">
        <f>IF(F10=0,0,IF(J10="暂停",G10,0))</f>
        <v>0</v>
      </c>
      <c r="L10" s="8">
        <f>IF(F10=0,0,IF(J10="扩投",F10*1.2,0))</f>
        <v>0</v>
      </c>
      <c r="M10" s="8">
        <f>IF(J10="扩投",ROUND(F10*1.2,0),0)</f>
        <v>0</v>
      </c>
      <c r="N10" s="8">
        <f>IF(F10=0,0,IF(J10="暂停",G10,IF(J10="扩投",ROUND(MIN(M10,F10+S10),0),F10)))</f>
        <v>6000</v>
      </c>
      <c r="O10" s="8">
        <f>IF(F10=0,0,N10-F10)</f>
        <v>0</v>
      </c>
      <c r="P10" s="3" t="str">
        <f>IF(F10=0,"",IF(J10="暂停","停新客投放，仅保品牌词与内容留存","")&amp;IF(J10="扩投","加投至新客预算上限","")&amp;IF(J10="维持","持平，下月复评","")&amp;IF(J10="样本不足","样本不足不评估，维持原预算",""))</f>
        <v>持平，下月复评</v>
      </c>
      <c r="Q10" s="3" t="str">
        <f>IF(J10="暂停",TEXT(DATE(YEAR(A10),MONTH(A10)+1,1)+Params!$B$9-1,"m月d日"),"")</f>
        <v/>
      </c>
      <c r="R10" s="3" t="str">
        <f>IF(J10="暂停","投放负责人+品牌负责人","")&amp;IF(J10="扩投","投放负责人","")</f>
        <v/>
      </c>
      <c r="S10" s="8">
        <f>IF(L10&gt;0,ROUND($B$19*M10/$B$20,0),0)</f>
        <v>0</v>
      </c>
      <c r="T10" s="8">
        <f>IF(F10=0,0,ROUND(E10*N10/F10,0))</f>
        <v>60</v>
      </c>
      <c r="U10" s="8">
        <f>IF(F10=0,0,N10)</f>
        <v>6000</v>
      </c>
      <c r="V10" s="8">
        <f>IF(F10=0,0,IF(E10&gt;0,N10,0))</f>
        <v>6000</v>
      </c>
      <c r="W10">
        <f>IF(F9=0,0,IF(E9&gt;0,N9,0))</f>
        <v>4000</v>
      </c>
    </row>
    <row r="11" ht="18.00" customHeight="true">
      <c r="A11" s="2"/>
      <c r="B11" s="11"/>
      <c r="C11" s="2"/>
      <c r="D11" s="2"/>
      <c r="E11" s="2"/>
      <c r="F11" s="8"/>
      <c r="G11" s="8">
        <f>ROUND(MAX(Params!$B$7,F11*Params!$B$8),0)</f>
        <v>500</v>
      </c>
      <c r="H11" s="2" t="str">
        <f>IF(E11=0,"",IF(E11&gt;=Params!$B$6,"通过","不足"))</f>
        <v/>
      </c>
      <c r="I11" s="2" t="str">
        <f>IF(E11=0,"",ROUND(C11/D11,2))</f>
        <v/>
      </c>
      <c r="J11" s="2" t="str">
        <f>IF(E11=0,"",IF(H11="不足","样本不足",IF(I11&gt;=Params!$B$4,"扩投",IF(I11&lt;Params!$B$3,"暂停","维持"))))</f>
        <v/>
      </c>
      <c r="K11" s="8">
        <f>IF(F11=0,0,IF(J11="暂停",G11,0))</f>
        <v>0</v>
      </c>
      <c r="L11" s="8">
        <f>IF(F11=0,0,IF(J11="扩投",F11*1.2,0))</f>
        <v>0</v>
      </c>
      <c r="M11" s="8">
        <f>IF(J11="扩投",ROUND(F11*1.2,0),0)</f>
        <v>0</v>
      </c>
      <c r="N11" s="8">
        <f>IF(F11=0,0,IF(J11="暂停",G11,IF(J11="扩投",ROUND(MIN(M11,F11+S11),0),F11)))</f>
        <v>0</v>
      </c>
      <c r="O11" s="8">
        <f>IF(F11=0,0,N11-F11)</f>
        <v>0</v>
      </c>
      <c r="P11" s="3" t="str">
        <f>IF(F11=0,"",IF(J11="暂停","停新客投放，仅保品牌词与内容留存","")&amp;IF(J11="扩投","加投至新客预算上限","")&amp;IF(J11="维持","持平，下月复评","")&amp;IF(J11="样本不足","样本不足不评估，维持原预算",""))</f>
        <v/>
      </c>
      <c r="Q11" s="3" t="str">
        <f>IF(J11="暂停",TEXT(DATE(YEAR(A11),MONTH(A11)+1,1)+Params!$B$9-1,"m月d日"),"")</f>
        <v/>
      </c>
      <c r="R11" s="3" t="str">
        <f>IF(J11="暂停","投放负责人+品牌负责人","")&amp;IF(J11="扩投","投放负责人","")</f>
        <v/>
      </c>
      <c r="S11" s="8">
        <f>IF(L11&gt;0,ROUND($B$19*M11/$B$20,0),0)</f>
        <v>0</v>
      </c>
      <c r="T11" s="8">
        <f>IF(F11=0,0,ROUND(E11*N11/F11,0))</f>
        <v>0</v>
      </c>
      <c r="U11" s="8">
        <f>IF(F11=0,0,N11)</f>
        <v>0</v>
      </c>
      <c r="V11" s="8">
        <f>IF(F11=0,0,IF(E11&gt;0,N11,0))</f>
        <v>0</v>
      </c>
      <c r="W11">
        <f>IF(F10=0,0,IF(E10&gt;0,N10,0))</f>
        <v>6000</v>
      </c>
    </row>
    <row r="12" ht="18.00" customHeight="true">
      <c r="A12" s="2"/>
      <c r="B12" s="11"/>
      <c r="C12" s="2"/>
      <c r="D12" s="2"/>
      <c r="E12" s="2"/>
      <c r="F12" s="8"/>
      <c r="G12" s="8">
        <f>ROUND(MAX(Params!$B$7,F12*Params!$B$8),0)</f>
        <v>500</v>
      </c>
      <c r="H12" s="2" t="str">
        <f>IF(E12=0,"",IF(E12&gt;=Params!$B$6,"通过","不足"))</f>
        <v/>
      </c>
      <c r="I12" s="2" t="str">
        <f>IF(E12=0,"",ROUND(C12/D12,2))</f>
        <v/>
      </c>
      <c r="J12" s="2" t="str">
        <f>IF(E12=0,"",IF(H12="不足","样本不足",IF(I12&gt;=Params!$B$4,"扩投",IF(I12&lt;Params!$B$3,"暂停","维持"))))</f>
        <v/>
      </c>
      <c r="K12" s="8">
        <f>IF(F12=0,0,IF(J12="暂停",G12,0))</f>
        <v>0</v>
      </c>
      <c r="L12" s="8">
        <f>IF(F12=0,0,IF(J12="扩投",F12*1.2,0))</f>
        <v>0</v>
      </c>
      <c r="M12" s="8">
        <f>IF(J12="扩投",ROUND(F12*1.2,0),0)</f>
        <v>0</v>
      </c>
      <c r="N12" s="8">
        <f>IF(F12=0,0,IF(J12="暂停",G12,IF(J12="扩投",ROUND(MIN(M12,F12+S12),0),F12)))</f>
        <v>0</v>
      </c>
      <c r="O12" s="8">
        <f>IF(F12=0,0,N12-F12)</f>
        <v>0</v>
      </c>
      <c r="P12" s="3" t="str">
        <f>IF(F12=0,"",IF(J12="暂停","停新客投放，仅保品牌词与内容留存","")&amp;IF(J12="扩投","加投至新客预算上限","")&amp;IF(J12="维持","持平，下月复评","")&amp;IF(J12="样本不足","样本不足不评估，维持原预算",""))</f>
        <v/>
      </c>
      <c r="Q12" s="3" t="str">
        <f>IF(J12="暂停",TEXT(DATE(YEAR(A12),MONTH(A12)+1,1)+Params!$B$9-1,"m月d日"),"")</f>
        <v/>
      </c>
      <c r="R12" s="3" t="str">
        <f>IF(J12="暂停","投放负责人+品牌负责人","")&amp;IF(J12="扩投","投放负责人","")</f>
        <v/>
      </c>
      <c r="S12" s="8">
        <f>IF(L12&gt;0,ROUND($B$19*M12/$B$20,0),0)</f>
        <v>0</v>
      </c>
      <c r="T12" s="8">
        <f>IF(F12=0,0,ROUND(E12*N12/F12,0))</f>
        <v>0</v>
      </c>
      <c r="U12" s="8">
        <f>IF(F12=0,0,N12)</f>
        <v>0</v>
      </c>
      <c r="V12" s="8">
        <f>IF(F12=0,0,IF(E12&gt;0,N12,0))</f>
        <v>0</v>
      </c>
      <c r="W12">
        <f>IF(F11=0,0,IF(E11&gt;0,N11,0))</f>
        <v>0</v>
      </c>
    </row>
    <row r="13" ht="18.00" customHeight="true">
      <c r="A13" s="2"/>
      <c r="B13" s="11"/>
      <c r="C13" s="2"/>
      <c r="D13" s="2"/>
      <c r="E13" s="2"/>
      <c r="F13" s="8"/>
      <c r="G13" s="8">
        <f>ROUND(MAX(Params!$B$7,F13*Params!$B$8),0)</f>
        <v>500</v>
      </c>
      <c r="H13" s="2" t="str">
        <f>IF(E13=0,"",IF(E13&gt;=Params!$B$6,"通过","不足"))</f>
        <v/>
      </c>
      <c r="I13" s="2" t="str">
        <f>IF(E13=0,"",ROUND(C13/D13,2))</f>
        <v/>
      </c>
      <c r="J13" s="2" t="str">
        <f>IF(E13=0,"",IF(H13="不足","样本不足",IF(I13&gt;=Params!$B$4,"扩投",IF(I13&lt;Params!$B$3,"暂停","维持"))))</f>
        <v/>
      </c>
      <c r="K13" s="8">
        <f>IF(F13=0,0,IF(J13="暂停",G13,0))</f>
        <v>0</v>
      </c>
      <c r="L13" s="8">
        <f>IF(F13=0,0,IF(J13="扩投",F13*1.2,0))</f>
        <v>0</v>
      </c>
      <c r="M13" s="8">
        <f>IF(J13="扩投",ROUND(F13*1.2,0),0)</f>
        <v>0</v>
      </c>
      <c r="N13" s="8">
        <f>IF(F13=0,0,IF(J13="暂停",G13,IF(J13="扩投",ROUND(MIN(M13,F13+S13),0),F13)))</f>
        <v>0</v>
      </c>
      <c r="O13" s="8">
        <f>IF(F13=0,0,N13-F13)</f>
        <v>0</v>
      </c>
      <c r="P13" s="3" t="str">
        <f>IF(F13=0,"",IF(J13="暂停","停新客投放，仅保品牌词与内容留存","")&amp;IF(J13="扩投","加投至新客预算上限","")&amp;IF(J13="维持","持平，下月复评","")&amp;IF(J13="样本不足","样本不足不评估，维持原预算",""))</f>
        <v/>
      </c>
      <c r="Q13" s="3" t="str">
        <f>IF(J13="暂停",TEXT(DATE(YEAR(A13),MONTH(A13)+1,1)+Params!$B$9-1,"m月d日"),"")</f>
        <v/>
      </c>
      <c r="R13" s="3" t="str">
        <f>IF(J13="暂停","投放负责人+品牌负责人","")&amp;IF(J13="扩投","投放负责人","")</f>
        <v/>
      </c>
      <c r="S13" s="8">
        <f>IF(L13&gt;0,ROUND($B$19*M13/$B$20,0),0)</f>
        <v>0</v>
      </c>
      <c r="T13" s="8">
        <f>IF(F13=0,0,ROUND(E13*N13/F13,0))</f>
        <v>0</v>
      </c>
      <c r="U13" s="8">
        <f>IF(F13=0,0,N13)</f>
        <v>0</v>
      </c>
      <c r="V13" s="8">
        <f>IF(F13=0,0,IF(E13&gt;0,N13,0))</f>
        <v>0</v>
      </c>
      <c r="W13">
        <f>IF(F12=0,0,IF(E12&gt;0,N12,0))</f>
        <v>0</v>
      </c>
    </row>
    <row r="14" ht="18.00" customHeight="true">
      <c r="A14" s="2"/>
      <c r="B14" s="11"/>
      <c r="C14" s="2"/>
      <c r="D14" s="2"/>
      <c r="E14" s="2"/>
      <c r="F14" s="8"/>
      <c r="G14" s="8">
        <f>ROUND(MAX(Params!$B$7,F14*Params!$B$8),0)</f>
        <v>500</v>
      </c>
      <c r="H14" s="2" t="str">
        <f>IF(E14=0,"",IF(E14&gt;=Params!$B$6,"通过","不足"))</f>
        <v/>
      </c>
      <c r="I14" s="2" t="str">
        <f>IF(E14=0,"",ROUND(C14/D14,2))</f>
        <v/>
      </c>
      <c r="J14" s="2" t="str">
        <f>IF(E14=0,"",IF(H14="不足","样本不足",IF(I14&gt;=Params!$B$4,"扩投",IF(I14&lt;Params!$B$3,"暂停","维持"))))</f>
        <v/>
      </c>
      <c r="K14" s="8">
        <f>IF(F14=0,0,IF(J14="暂停",G14,0))</f>
        <v>0</v>
      </c>
      <c r="L14" s="8">
        <f>IF(F14=0,0,IF(J14="扩投",F14*1.2,0))</f>
        <v>0</v>
      </c>
      <c r="M14" s="8">
        <f>IF(J14="扩投",ROUND(F14*1.2,0),0)</f>
        <v>0</v>
      </c>
      <c r="N14" s="8">
        <f>IF(F14=0,0,IF(J14="暂停",G14,IF(J14="扩投",ROUND(MIN(M14,F14+S14),0),F14)))</f>
        <v>0</v>
      </c>
      <c r="O14" s="8">
        <f>IF(F14=0,0,N14-F14)</f>
        <v>0</v>
      </c>
      <c r="P14" s="3" t="str">
        <f>IF(F14=0,"",IF(J14="暂停","停新客投放，仅保品牌词与内容留存","")&amp;IF(J14="扩投","加投至新客预算上限","")&amp;IF(J14="维持","持平，下月复评","")&amp;IF(J14="样本不足","样本不足不评估，维持原预算",""))</f>
        <v/>
      </c>
      <c r="Q14" s="3" t="str">
        <f>IF(J14="暂停",TEXT(DATE(YEAR(A14),MONTH(A14)+1,1)+Params!$B$9-1,"m月d日"),"")</f>
        <v/>
      </c>
      <c r="R14" s="3" t="str">
        <f>IF(J14="暂停","投放负责人+品牌负责人","")&amp;IF(J14="扩投","投放负责人","")</f>
        <v/>
      </c>
      <c r="S14" s="8">
        <f>IF(L14&gt;0,ROUND($B$19*M14/$B$20,0),0)</f>
        <v>0</v>
      </c>
      <c r="T14" s="8">
        <f>IF(F14=0,0,ROUND(E14*N14/F14,0))</f>
        <v>0</v>
      </c>
      <c r="U14" s="8">
        <f>IF(F14=0,0,N14)</f>
        <v>0</v>
      </c>
      <c r="V14" s="8">
        <f>IF(F14=0,0,IF(E14&gt;0,N14,0))</f>
        <v>0</v>
      </c>
      <c r="W14">
        <f>IF(F13=0,0,IF(E13&gt;0,N13,0))</f>
        <v>0</v>
      </c>
    </row>
    <row r="15" ht="21.00" customHeight="true">
      <c r="A15" s="2"/>
      <c r="B15" s="11"/>
      <c r="C15" s="2"/>
      <c r="D15" s="2"/>
      <c r="E15" s="2"/>
      <c r="F15" s="8"/>
      <c r="G15" s="8">
        <f>ROUND(MAX(Params!$B$7,F15*Params!$B$8),0)</f>
        <v>500</v>
      </c>
      <c r="H15" s="2" t="str">
        <f>IF(E15=0,"",IF(E15&gt;=Params!$B$6,"通过","不足"))</f>
        <v/>
      </c>
      <c r="I15" s="2" t="str">
        <f>IF(E15=0,"",ROUND(C15/D15,2))</f>
        <v/>
      </c>
      <c r="J15" s="2" t="str">
        <f>IF(E15=0,"",IF(H15="不足","样本不足",IF(I15&gt;=Params!$B$4,"扩投",IF(I15&lt;Params!$B$3,"暂停","维持"))))</f>
        <v/>
      </c>
      <c r="K15" s="8">
        <f>IF(F15=0,0,IF(J15="暂停",G15,0))</f>
        <v>0</v>
      </c>
      <c r="L15" s="8">
        <f>IF(F15=0,0,IF(J15="扩投",F15*1.2,0))</f>
        <v>0</v>
      </c>
      <c r="M15" s="8">
        <f>IF(J15="扩投",ROUND(F15*1.2,0),0)</f>
        <v>0</v>
      </c>
      <c r="N15" s="8">
        <f>IF(F15=0,0,IF(J15="暂停",G15,IF(J15="扩投",ROUND(MIN(M15,F15+S15),0),F15)))</f>
        <v>0</v>
      </c>
      <c r="O15" s="8">
        <f>IF(F15=0,0,N15-F15)</f>
        <v>0</v>
      </c>
      <c r="P15" s="3" t="str">
        <f>IF(F15=0,"",IF(J15="暂停","停新客投放，仅保品牌词与内容留存","")&amp;IF(J15="扩投","加投至新客预算上限","")&amp;IF(J15="维持","持平，下月复评","")&amp;IF(J15="样本不足","样本不足不评估，维持原预算",""))</f>
        <v/>
      </c>
      <c r="Q15" s="3" t="str">
        <f>IF(J15="暂停",TEXT(DATE(YEAR(A15),MONTH(A15)+1,1)+Params!$B$9-1,"m月d日"),"")</f>
        <v/>
      </c>
      <c r="R15" s="3" t="str">
        <f>IF(J15="暂停","投放负责人+品牌负责人","")&amp;IF(J15="扩投","投放负责人","")</f>
        <v/>
      </c>
      <c r="S15" s="8">
        <f>IF(L15&gt;0,ROUND($B$19*M15/$B$20,0),0)</f>
        <v>0</v>
      </c>
      <c r="T15" s="8">
        <f>IF(F15=0,0,ROUND(E15*N15/F15,0))</f>
        <v>0</v>
      </c>
      <c r="U15" s="8">
        <f>IF(F15=0,0,N15)</f>
        <v>0</v>
      </c>
      <c r="V15" s="8">
        <f>IF(F15=0,0,IF(E15&gt;0,N15,0))</f>
        <v>0</v>
      </c>
      <c r="W15">
        <f>IF(F14=0,0,IF(E14&gt;0,N14,0))</f>
        <v>0</v>
      </c>
    </row>
    <row r="16" ht="18.00" customHeight="true">
      <c r="W16">
        <f>IF(F15=0,0,IF(E15&gt;0,N15,0))</f>
        <v>0</v>
      </c>
    </row>
    <row r="18" ht="18.00" customHeight="true">
      <c r="A18" t="s" s="12">
        <v>89</v>
      </c>
      <c r="B18" t="s" s="12">
        <v>2</v>
      </c>
      <c r="C18" t="s" s="12">
        <v>3</v>
      </c>
      <c r="J18" s="13"/>
      <c r="K18" s="14"/>
      <c r="L18" s="13"/>
    </row>
    <row r="19" ht="18.00" customHeight="true">
      <c r="A19" t="s" s="13">
        <v>90</v>
      </c>
      <c r="B19" s="14">
        <f>SUM(K3:K15)</f>
        <v>1300</v>
      </c>
      <c r="C19" t="s" s="13">
        <v>16</v>
      </c>
      <c r="J19" s="13"/>
      <c r="K19" s="15"/>
      <c r="L19" s="13"/>
    </row>
    <row r="20" ht="18.00" customHeight="true">
      <c r="A20" t="s" s="13">
        <v>91</v>
      </c>
      <c r="B20" s="15">
        <f>SUM(L3:L15)</f>
        <v>31200</v>
      </c>
      <c r="C20" t="s" s="13">
        <v>16</v>
      </c>
      <c r="J20" s="13"/>
      <c r="K20" s="15"/>
      <c r="L20" s="13"/>
    </row>
    <row r="21" ht="18.00" customHeight="true">
      <c r="A21" t="s" s="13">
        <v>92</v>
      </c>
      <c r="B21" s="15">
        <f>SUM(M3:M15)</f>
        <v>31200</v>
      </c>
      <c r="C21" t="s" s="13">
        <v>16</v>
      </c>
      <c r="J21" s="13"/>
      <c r="K21" s="16"/>
      <c r="L21" s="13"/>
    </row>
    <row r="22" ht="18.00" customHeight="true">
      <c r="A22" t="s" s="13">
        <v>93</v>
      </c>
      <c r="B22" s="16">
        <f>SUM(N3:N15)</f>
        <v>65600</v>
      </c>
      <c r="C22" t="s" s="13">
        <v>34</v>
      </c>
      <c r="J22" s="13"/>
      <c r="K22" s="17"/>
      <c r="L22" s="13"/>
    </row>
    <row r="23" ht="18.00" customHeight="true">
      <c r="A23" t="s" s="13">
        <v>94</v>
      </c>
      <c r="B23" s="17" t="str">
        <f>IF(SUM(N3:N15)&gt;Params!B15,"超上限：按比值截断加投","通过：未超总盘上限")</f>
        <v>通过：未超总盘上限</v>
      </c>
      <c r="C23" t="s" s="13">
        <v>76</v>
      </c>
    </row>
  </sheetData>
  <mergeCells count="1">
    <mergeCell ref="A1:V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33"/>
  <sheetViews>
    <sheetView showGridLines="1" tabSelected="0" workbookViewId="0">
      <selection activeCell="A1" sqref="A1"/>
    </sheetView>
  </sheetViews>
  <sheetFormatPr defaultRowHeight="18.00" customHeight="1" defaultColWidth="10.79"/>
  <cols>
    <col min="1" max="1" width="28.21" customWidth="1" hidden="0"/>
    <col min="2" max="2" width="30.66" customWidth="1" hidden="0"/>
    <col min="3" max="3" width="31.89" customWidth="1" hidden="0"/>
    <col min="4" max="4" width="63.78" customWidth="1" hidden="0"/>
  </cols>
  <sheetData>
    <row r="1" ht="30.00" customHeight="true">
      <c r="A1" t="s" s="9">
        <v>96</v>
      </c>
      <c r="B1" s="3"/>
      <c r="C1" s="3"/>
      <c r="D1" s="3"/>
    </row>
    <row r="2" ht="18.00" customHeight="true">
      <c r="A2" t="s" s="18">
        <v>97</v>
      </c>
      <c r="B2" s="3"/>
      <c r="C2" s="3"/>
      <c r="D2" s="3"/>
      <c r="E2" s="19"/>
    </row>
    <row r="3" ht="18.00" customHeight="true">
      <c r="A3" t="s" s="10">
        <v>98</v>
      </c>
      <c r="B3" t="s" s="10">
        <v>99</v>
      </c>
      <c r="C3" t="s" s="10">
        <v>100</v>
      </c>
      <c r="D3" t="s" s="10">
        <v>101</v>
      </c>
      <c r="E3" s="19"/>
    </row>
    <row r="4" ht="18.00" customHeight="true">
      <c r="A4" s="20">
        <v>1</v>
      </c>
      <c r="B4" t="s" s="21">
        <v>51</v>
      </c>
      <c r="C4" t="s" s="3">
        <v>102</v>
      </c>
      <c r="D4" t="s" s="3">
        <v>103</v>
      </c>
      <c r="E4" s="19"/>
    </row>
    <row r="5" ht="31.50" customHeight="true">
      <c r="A5" s="20">
        <v>2</v>
      </c>
      <c r="B5" t="s" s="21">
        <v>104</v>
      </c>
      <c r="C5" t="s" s="3">
        <v>105</v>
      </c>
      <c r="D5" t="s" s="3">
        <v>106</v>
      </c>
      <c r="E5" s="19"/>
    </row>
    <row r="6" ht="18.00" customHeight="true">
      <c r="A6" s="20">
        <v>3</v>
      </c>
      <c r="B6" t="s" s="21">
        <v>107</v>
      </c>
      <c r="C6" t="s" s="3">
        <v>108</v>
      </c>
      <c r="D6" t="s" s="3">
        <v>109</v>
      </c>
      <c r="E6" s="19"/>
    </row>
    <row r="7" ht="18.00" customHeight="true">
      <c r="A7" s="20">
        <v>4</v>
      </c>
      <c r="B7" t="s" s="21">
        <v>110</v>
      </c>
      <c r="C7" t="s" s="3">
        <v>111</v>
      </c>
      <c r="D7" t="s" s="3">
        <v>112</v>
      </c>
      <c r="E7" s="19"/>
    </row>
    <row r="8" ht="18.00" customHeight="true">
      <c r="A8" s="20">
        <v>5</v>
      </c>
      <c r="B8" t="s" s="21">
        <v>113</v>
      </c>
      <c r="C8" t="s" s="3">
        <v>114</v>
      </c>
      <c r="D8" t="s" s="3">
        <v>115</v>
      </c>
      <c r="E8" s="19"/>
    </row>
    <row r="9" ht="18.00" customHeight="true">
      <c r="A9" s="3"/>
      <c r="B9" s="3"/>
      <c r="C9" s="3"/>
      <c r="D9" s="3"/>
      <c r="E9" s="19"/>
    </row>
    <row r="10" ht="18.00" customHeight="true">
      <c r="A10" t="s" s="18">
        <v>116</v>
      </c>
      <c r="B10" s="3"/>
      <c r="C10" s="3"/>
      <c r="D10" s="3"/>
      <c r="E10" s="19"/>
    </row>
    <row r="11" ht="18.00" customHeight="true">
      <c r="A11" t="s" s="21">
        <v>90</v>
      </c>
      <c r="B11" s="22">
        <f>门控矩阵!B19</f>
        <v>1300</v>
      </c>
      <c r="C11" t="s" s="18">
        <v>16</v>
      </c>
      <c r="D11" t="s" s="18">
        <v>117</v>
      </c>
      <c r="E11" s="23" t="str">
        <f>IF(门控矩阵!B23="通过：未超总盘上限","✔ 未超总盘上限","✘ 超上限：按比值截断加投")</f>
        <v>✔ 未超总盘上限</v>
      </c>
    </row>
    <row r="12" ht="18.00" customHeight="true">
      <c r="A12" t="s" s="21">
        <v>119</v>
      </c>
      <c r="B12" s="24">
        <f>门控矩阵!B20</f>
        <v>31200</v>
      </c>
      <c r="C12" t="s" s="18">
        <v>16</v>
      </c>
      <c r="D12" t="s" s="18">
        <v>117</v>
      </c>
      <c r="E12" s="19"/>
    </row>
    <row r="13" ht="18.00" customHeight="true">
      <c r="A13" t="s" s="21">
        <v>92</v>
      </c>
      <c r="B13" s="24">
        <f>门控矩阵!B21</f>
        <v>31200</v>
      </c>
      <c r="C13" t="s" s="18">
        <v>16</v>
      </c>
      <c r="D13" t="s" s="18">
        <v>117</v>
      </c>
      <c r="E13" s="19"/>
    </row>
    <row r="14" ht="18.00" customHeight="true">
      <c r="A14" t="s" s="21">
        <v>93</v>
      </c>
      <c r="B14" s="25">
        <f>门控矩阵!B22</f>
        <v>65600</v>
      </c>
      <c r="C14" t="s" s="18">
        <v>34</v>
      </c>
      <c r="D14" t="s" s="18">
        <v>117</v>
      </c>
      <c r="E14" s="19"/>
    </row>
    <row r="15" ht="18.00" customHeight="true">
      <c r="A15" t="s" s="21">
        <v>120</v>
      </c>
      <c r="B15" s="25">
        <f>Params!B15</f>
        <v>110000</v>
      </c>
      <c r="C15" t="s" s="18">
        <v>34</v>
      </c>
      <c r="D15" t="s" s="18">
        <v>117</v>
      </c>
      <c r="E15" s="19"/>
    </row>
    <row r="16" ht="18.00" customHeight="true">
      <c r="A16" t="s" s="21">
        <v>121</v>
      </c>
      <c r="B16" s="25">
        <f>SUM(门控矩阵!G3:G15)</f>
        <v>7700</v>
      </c>
      <c r="C16" t="s" s="18">
        <v>16</v>
      </c>
      <c r="D16" t="s" s="18">
        <v>117</v>
      </c>
      <c r="E16" s="19"/>
    </row>
    <row r="17" ht="18.00" customHeight="true">
      <c r="A17" s="3"/>
      <c r="B17" s="3"/>
      <c r="C17" s="3"/>
      <c r="D17" s="3"/>
      <c r="E17" s="19"/>
    </row>
    <row r="18" ht="31.50" customHeight="true">
      <c r="A18" t="s" s="18">
        <v>122</v>
      </c>
      <c r="B18" s="3"/>
      <c r="C18" s="3"/>
      <c r="D18" s="3"/>
      <c r="E18" s="19"/>
    </row>
    <row r="19" ht="31.50" customHeight="true">
      <c r="A19" t="s" s="20">
        <v>123</v>
      </c>
      <c r="B19" t="s" s="21">
        <v>124</v>
      </c>
      <c r="C19" t="s" s="18">
        <v>125</v>
      </c>
      <c r="D19" t="s" s="3">
        <v>126</v>
      </c>
      <c r="E19" s="19"/>
    </row>
    <row r="20" ht="31.50" customHeight="true">
      <c r="A20" t="s" s="20">
        <v>127</v>
      </c>
      <c r="B20" t="s" s="21">
        <v>128</v>
      </c>
      <c r="C20" t="s" s="18">
        <v>125</v>
      </c>
      <c r="D20" t="s" s="3">
        <v>129</v>
      </c>
      <c r="E20" s="19"/>
    </row>
    <row r="21" ht="31.50" customHeight="true">
      <c r="A21" t="s" s="20">
        <v>130</v>
      </c>
      <c r="B21" t="s" s="21">
        <v>131</v>
      </c>
      <c r="C21" t="s" s="18">
        <v>125</v>
      </c>
      <c r="D21" t="s" s="3">
        <v>132</v>
      </c>
      <c r="E21" s="19"/>
    </row>
    <row r="22" ht="31.50" customHeight="true">
      <c r="A22" t="s" s="20">
        <v>133</v>
      </c>
      <c r="B22" t="s" s="21">
        <v>134</v>
      </c>
      <c r="C22" t="s" s="18">
        <v>125</v>
      </c>
      <c r="D22" t="s" s="3">
        <v>135</v>
      </c>
      <c r="E22" s="19"/>
    </row>
    <row r="23" ht="31.50" customHeight="true">
      <c r="A23" t="s" s="20">
        <v>136</v>
      </c>
      <c r="B23" t="s" s="21">
        <v>137</v>
      </c>
      <c r="C23" t="s" s="18">
        <v>125</v>
      </c>
      <c r="D23" t="s" s="3">
        <v>138</v>
      </c>
      <c r="E23" s="19"/>
    </row>
    <row r="24" ht="31.50" customHeight="true">
      <c r="A24" t="s" s="20">
        <v>139</v>
      </c>
      <c r="B24" t="s" s="21">
        <v>140</v>
      </c>
      <c r="C24" t="s" s="18">
        <v>125</v>
      </c>
      <c r="D24" t="s" s="3">
        <v>141</v>
      </c>
      <c r="E24" s="19"/>
    </row>
    <row r="25" ht="18.00" customHeight="true">
      <c r="A25" s="3"/>
      <c r="B25" s="3"/>
      <c r="C25" s="3"/>
      <c r="D25" s="3"/>
      <c r="E25" s="19"/>
    </row>
    <row r="26" ht="18.00" customHeight="true">
      <c r="A26" t="s" s="18">
        <v>142</v>
      </c>
      <c r="B26" s="3"/>
      <c r="C26" s="3"/>
      <c r="D26" s="3"/>
      <c r="E26" s="19"/>
    </row>
    <row r="27" ht="31.50" customHeight="true">
      <c r="A27" t="s" s="21">
        <v>143</v>
      </c>
      <c r="B27" t="s" s="3">
        <v>144</v>
      </c>
      <c r="C27" t="s" s="18">
        <v>76</v>
      </c>
      <c r="D27" t="s" s="18">
        <v>76</v>
      </c>
      <c r="E27" s="19"/>
    </row>
    <row r="28" ht="31.50" customHeight="true">
      <c r="A28" t="s" s="21">
        <v>145</v>
      </c>
      <c r="B28" t="s" s="3">
        <v>146</v>
      </c>
      <c r="C28" t="s" s="18">
        <v>76</v>
      </c>
      <c r="D28" t="s" s="18">
        <v>76</v>
      </c>
      <c r="E28" s="19"/>
    </row>
    <row r="29" ht="31.50" customHeight="true">
      <c r="A29" t="s" s="21">
        <v>147</v>
      </c>
      <c r="B29" t="s" s="3">
        <v>148</v>
      </c>
      <c r="C29" t="s" s="18">
        <v>76</v>
      </c>
      <c r="D29" t="s" s="18">
        <v>76</v>
      </c>
      <c r="E29" s="19"/>
    </row>
    <row r="30" ht="31.50" customHeight="true">
      <c r="A30" t="s" s="21">
        <v>149</v>
      </c>
      <c r="B30" t="s" s="3">
        <v>150</v>
      </c>
      <c r="C30" t="s" s="18">
        <v>76</v>
      </c>
      <c r="D30" t="s" s="18">
        <v>76</v>
      </c>
      <c r="E30" s="19"/>
    </row>
    <row r="31" ht="31.50" customHeight="true">
      <c r="A31" t="s" s="21">
        <v>151</v>
      </c>
      <c r="B31" t="s" s="3">
        <v>152</v>
      </c>
      <c r="C31" t="s" s="18">
        <v>76</v>
      </c>
      <c r="D31" t="s" s="18">
        <v>76</v>
      </c>
      <c r="E31" s="19"/>
    </row>
    <row r="32" ht="31.50" customHeight="true">
      <c r="A32" t="s" s="21">
        <v>153</v>
      </c>
      <c r="B32" t="s" s="3">
        <v>154</v>
      </c>
      <c r="C32" t="s" s="18">
        <v>76</v>
      </c>
      <c r="D32" t="s" s="18">
        <v>76</v>
      </c>
      <c r="E32" s="19"/>
    </row>
    <row r="33" ht="18.00" customHeight="true">
      <c r="B33" s="19"/>
      <c r="C33" s="19"/>
      <c r="D33" s="19"/>
      <c r="E33" s="19"/>
    </row>
  </sheetData>
  <mergeCells count="4">
    <mergeCell ref="A1:D1"/>
    <mergeCell ref="A17:D17"/>
    <mergeCell ref="A9:D9"/>
    <mergeCell ref="A26:B31"/>
  </mergeCells>
  <phoneticPr fontId="0" type="noConversion"/>
  <conditionalFormatting sqref="B11">
    <cfRule priority="1" type="cellIs" dxfId="0" operator="greaterThan">
      <formula>0</formula>
    </cfRule>
  </conditionalFormatting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Params</vt:lpstr>
      <vt:lpstr>门控矩阵</vt:lpstr>
      <vt:lpstr>执行清单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1970-01-01T00:00:00Z</dcterms:created>
  <dcterms:modified xsi:type="dcterms:W3CDTF">1970-01-01T00:00:00Z</dcterms:modified>
</cp:coreProperties>
</file>